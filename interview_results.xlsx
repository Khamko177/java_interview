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Tiet_Cau_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7FF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1E3A8A"/>
      <sz val="10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7" fillId="8" borderId="1" pivotButton="0" quotePrefix="0" xfId="0"/>
    <xf numFmtId="164" fontId="7" fillId="8" borderId="1" applyAlignment="1" pivotButton="0" quotePrefix="0" xfId="0">
      <alignment horizontal="center" vertical="center"/>
    </xf>
    <xf numFmtId="10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10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2" customWidth="1" min="11" max="11"/>
    <col width="12" customWidth="1" min="12" max="12"/>
    <col width="10" customWidth="1" min="13" max="13"/>
    <col width="11" customWidth="1" min="14" max="14"/>
    <col width="16" customWidth="1" min="15" max="15"/>
  </cols>
  <sheetData>
    <row r="1" ht="40" customHeight="1">
      <c r="A1" s="1" t="inlineStr">
        <is>
          <t>BẢNG CHI TIẾT SỐ CÂU ĐÚNG &amp; KẾT QUẢ ĐÁNH GIÁ 50 CÂU HỎI INTERVIEW</t>
        </is>
      </c>
    </row>
    <row r="2" ht="22" customHeight="1">
      <c r="A2" s="2" t="inlineStr">
        <is>
          <t>Vị trí: Java Intern / Fresher | Tổng số câu: 50 (Logic: 15, Lập trình: 10, OOP: 15, Java: 10) | Bộ lọc câu khó: 6 câu</t>
        </is>
      </c>
    </row>
    <row r="3" ht="24" customHeight="1">
      <c r="A3" s="3" t="inlineStr">
        <is>
          <t>Hạng</t>
        </is>
      </c>
      <c r="B3" s="3" t="inlineStr">
        <is>
          <t>Họ và tên</t>
        </is>
      </c>
      <c r="C3" s="3" t="inlineStr">
        <is>
          <t>Logic (15 câu)</t>
        </is>
      </c>
      <c r="D3" s="3" t="n"/>
      <c r="E3" s="3" t="inlineStr">
        <is>
          <t>Lập trình (10 câu)</t>
        </is>
      </c>
      <c r="F3" s="3" t="n"/>
      <c r="G3" s="3" t="inlineStr">
        <is>
          <t>OOP (15 câu)</t>
        </is>
      </c>
      <c r="H3" s="3" t="n"/>
      <c r="I3" s="3" t="inlineStr">
        <is>
          <t>Java Core (10 câu)</t>
        </is>
      </c>
      <c r="J3" s="3" t="n"/>
      <c r="K3" s="3" t="inlineStr">
        <is>
          <t>Tổng kết (50 câu)</t>
        </is>
      </c>
      <c r="L3" s="3" t="n"/>
      <c r="M3" s="3" t="inlineStr">
        <is>
          <t>Câu khó (6 câu)</t>
        </is>
      </c>
      <c r="N3" s="3" t="n"/>
      <c r="O3" s="3" t="inlineStr">
        <is>
          <t>Xếp loại</t>
        </is>
      </c>
    </row>
    <row r="4" ht="22" customHeight="1">
      <c r="A4" s="4" t="n"/>
      <c r="B4" s="4" t="n"/>
      <c r="C4" s="4" t="inlineStr">
        <is>
          <t>Số câu</t>
        </is>
      </c>
      <c r="D4" s="4" t="inlineStr">
        <is>
          <t>Tỷ lệ</t>
        </is>
      </c>
      <c r="E4" s="4" t="inlineStr">
        <is>
          <t>Số câu</t>
        </is>
      </c>
      <c r="F4" s="4" t="inlineStr">
        <is>
          <t>Tỷ lệ</t>
        </is>
      </c>
      <c r="G4" s="4" t="inlineStr">
        <is>
          <t>Số câu</t>
        </is>
      </c>
      <c r="H4" s="4" t="inlineStr">
        <is>
          <t>Tỷ lệ</t>
        </is>
      </c>
      <c r="I4" s="4" t="inlineStr">
        <is>
          <t>Số câu</t>
        </is>
      </c>
      <c r="J4" s="4" t="inlineStr">
        <is>
          <t>Tỷ lệ</t>
        </is>
      </c>
      <c r="K4" s="4" t="inlineStr">
        <is>
          <t>Số câu</t>
        </is>
      </c>
      <c r="L4" s="4" t="inlineStr">
        <is>
          <t>Tỷ lệ</t>
        </is>
      </c>
      <c r="M4" s="4" t="inlineStr">
        <is>
          <t>Số câu</t>
        </is>
      </c>
      <c r="N4" s="4" t="inlineStr">
        <is>
          <t>Tỷ lệ</t>
        </is>
      </c>
      <c r="O4" s="4" t="n"/>
    </row>
    <row r="5" ht="24" customHeight="1">
      <c r="A5" s="5" t="n">
        <v>1</v>
      </c>
      <c r="B5" s="6" t="inlineStr">
        <is>
          <t>Trần Nguyên Đạt</t>
        </is>
      </c>
      <c r="C5" s="7" t="n">
        <v>13</v>
      </c>
      <c r="D5" s="8">
        <f>C5/15</f>
        <v/>
      </c>
      <c r="E5" s="7" t="n">
        <v>10</v>
      </c>
      <c r="F5" s="8">
        <f>E5/10</f>
        <v/>
      </c>
      <c r="G5" s="7" t="n">
        <v>11</v>
      </c>
      <c r="H5" s="8">
        <f>G5/15</f>
        <v/>
      </c>
      <c r="I5" s="7" t="n">
        <v>10</v>
      </c>
      <c r="J5" s="8">
        <f>I5/10</f>
        <v/>
      </c>
      <c r="K5" s="9">
        <f>C5+E5+G5+I5</f>
        <v/>
      </c>
      <c r="L5" s="10">
        <f>K5/50</f>
        <v/>
      </c>
      <c r="M5" s="7" t="n">
        <v>6</v>
      </c>
      <c r="N5" s="8">
        <f>M5/6</f>
        <v/>
      </c>
      <c r="O5" s="11" t="inlineStr">
        <is>
          <t>Xuất sắc</t>
        </is>
      </c>
    </row>
    <row r="6" ht="24" customHeight="1">
      <c r="A6" s="5" t="n">
        <v>2</v>
      </c>
      <c r="B6" s="6" t="inlineStr">
        <is>
          <t>Nguyễn Văn Ngọc Huy</t>
        </is>
      </c>
      <c r="C6" s="7" t="n">
        <v>9</v>
      </c>
      <c r="D6" s="8">
        <f>C6/15</f>
        <v/>
      </c>
      <c r="E6" s="7" t="n">
        <v>10</v>
      </c>
      <c r="F6" s="8">
        <f>E6/10</f>
        <v/>
      </c>
      <c r="G6" s="7" t="n">
        <v>15</v>
      </c>
      <c r="H6" s="8">
        <f>G6/15</f>
        <v/>
      </c>
      <c r="I6" s="7" t="n">
        <v>9</v>
      </c>
      <c r="J6" s="8">
        <f>I6/10</f>
        <v/>
      </c>
      <c r="K6" s="9">
        <f>C6+E6+G6+I6</f>
        <v/>
      </c>
      <c r="L6" s="10">
        <f>K6/50</f>
        <v/>
      </c>
      <c r="M6" s="7" t="n">
        <v>5</v>
      </c>
      <c r="N6" s="8">
        <f>M6/6</f>
        <v/>
      </c>
      <c r="O6" s="11" t="inlineStr">
        <is>
          <t>Xuất sắc</t>
        </is>
      </c>
    </row>
    <row r="7" ht="24" customHeight="1">
      <c r="A7" s="12" t="n">
        <v>3</v>
      </c>
      <c r="B7" s="13" t="inlineStr">
        <is>
          <t>Lê Văn Cảm</t>
        </is>
      </c>
      <c r="C7" s="14" t="n">
        <v>10</v>
      </c>
      <c r="D7" s="15">
        <f>C7/15</f>
        <v/>
      </c>
      <c r="E7" s="14" t="n">
        <v>8</v>
      </c>
      <c r="F7" s="15">
        <f>E7/10</f>
        <v/>
      </c>
      <c r="G7" s="14" t="n">
        <v>12</v>
      </c>
      <c r="H7" s="15">
        <f>G7/15</f>
        <v/>
      </c>
      <c r="I7" s="14" t="n">
        <v>8</v>
      </c>
      <c r="J7" s="15">
        <f>I7/10</f>
        <v/>
      </c>
      <c r="K7" s="14">
        <f>C7+E7+G7+I7</f>
        <v/>
      </c>
      <c r="L7" s="15">
        <f>K7/50</f>
        <v/>
      </c>
      <c r="M7" s="14" t="n">
        <v>3</v>
      </c>
      <c r="N7" s="15">
        <f>M7/6</f>
        <v/>
      </c>
      <c r="O7" s="12" t="inlineStr">
        <is>
          <t>Khá giỏi</t>
        </is>
      </c>
    </row>
    <row r="8" ht="24" customHeight="1">
      <c r="A8" s="16" t="n">
        <v>4</v>
      </c>
      <c r="B8" s="17" t="inlineStr">
        <is>
          <t>Phạm Thái Bảo</t>
        </is>
      </c>
      <c r="C8" s="18" t="n">
        <v>10</v>
      </c>
      <c r="D8" s="19">
        <f>C8/15</f>
        <v/>
      </c>
      <c r="E8" s="18" t="n">
        <v>8</v>
      </c>
      <c r="F8" s="19">
        <f>E8/10</f>
        <v/>
      </c>
      <c r="G8" s="18" t="n">
        <v>10</v>
      </c>
      <c r="H8" s="19">
        <f>G8/15</f>
        <v/>
      </c>
      <c r="I8" s="18" t="n">
        <v>8</v>
      </c>
      <c r="J8" s="19">
        <f>I8/10</f>
        <v/>
      </c>
      <c r="K8" s="18">
        <f>C8+E8+G8+I8</f>
        <v/>
      </c>
      <c r="L8" s="19">
        <f>K8/50</f>
        <v/>
      </c>
      <c r="M8" s="18" t="n">
        <v>3</v>
      </c>
      <c r="N8" s="19">
        <f>M8/6</f>
        <v/>
      </c>
      <c r="O8" s="16" t="inlineStr">
        <is>
          <t>Khá</t>
        </is>
      </c>
    </row>
    <row r="9" ht="24" customHeight="1">
      <c r="A9" s="12" t="n">
        <v>5</v>
      </c>
      <c r="B9" s="13" t="inlineStr">
        <is>
          <t>Võ Hữu Tiến</t>
        </is>
      </c>
      <c r="C9" s="14" t="n">
        <v>9</v>
      </c>
      <c r="D9" s="15">
        <f>C9/15</f>
        <v/>
      </c>
      <c r="E9" s="14" t="n">
        <v>8</v>
      </c>
      <c r="F9" s="15">
        <f>E9/10</f>
        <v/>
      </c>
      <c r="G9" s="14" t="n">
        <v>7</v>
      </c>
      <c r="H9" s="15">
        <f>G9/15</f>
        <v/>
      </c>
      <c r="I9" s="14" t="n">
        <v>7</v>
      </c>
      <c r="J9" s="15">
        <f>I9/10</f>
        <v/>
      </c>
      <c r="K9" s="14">
        <f>C9+E9+G9+I9</f>
        <v/>
      </c>
      <c r="L9" s="15">
        <f>K9/50</f>
        <v/>
      </c>
      <c r="M9" s="14" t="n">
        <v>1</v>
      </c>
      <c r="N9" s="15">
        <f>M9/6</f>
        <v/>
      </c>
      <c r="O9" s="12" t="inlineStr">
        <is>
          <t>Trung bình khá</t>
        </is>
      </c>
    </row>
    <row r="10" ht="24" customHeight="1">
      <c r="A10" s="16" t="n">
        <v>6</v>
      </c>
      <c r="B10" s="17" t="inlineStr">
        <is>
          <t>Nguyễn Hữu Viễn</t>
        </is>
      </c>
      <c r="C10" s="18" t="n">
        <v>8</v>
      </c>
      <c r="D10" s="19">
        <f>C10/15</f>
        <v/>
      </c>
      <c r="E10" s="18" t="n">
        <v>8</v>
      </c>
      <c r="F10" s="19">
        <f>E10/10</f>
        <v/>
      </c>
      <c r="G10" s="18" t="n">
        <v>9</v>
      </c>
      <c r="H10" s="19">
        <f>G10/15</f>
        <v/>
      </c>
      <c r="I10" s="18" t="n">
        <v>5</v>
      </c>
      <c r="J10" s="19">
        <f>I10/10</f>
        <v/>
      </c>
      <c r="K10" s="18">
        <f>C10+E10+G10+I10</f>
        <v/>
      </c>
      <c r="L10" s="19">
        <f>K10/50</f>
        <v/>
      </c>
      <c r="M10" s="18" t="n">
        <v>2</v>
      </c>
      <c r="N10" s="19">
        <f>M10/6</f>
        <v/>
      </c>
      <c r="O10" s="16" t="inlineStr">
        <is>
          <t>Trung bình khá</t>
        </is>
      </c>
    </row>
    <row r="11" ht="24" customHeight="1">
      <c r="A11" s="12" t="n">
        <v>7</v>
      </c>
      <c r="B11" s="13" t="inlineStr">
        <is>
          <t>Đặng Lê Hoàng</t>
        </is>
      </c>
      <c r="C11" s="14" t="n">
        <v>8</v>
      </c>
      <c r="D11" s="15">
        <f>C11/15</f>
        <v/>
      </c>
      <c r="E11" s="14" t="n">
        <v>5</v>
      </c>
      <c r="F11" s="15">
        <f>E11/10</f>
        <v/>
      </c>
      <c r="G11" s="14" t="n">
        <v>10</v>
      </c>
      <c r="H11" s="15">
        <f>G11/15</f>
        <v/>
      </c>
      <c r="I11" s="14" t="n">
        <v>4</v>
      </c>
      <c r="J11" s="15">
        <f>I11/10</f>
        <v/>
      </c>
      <c r="K11" s="14">
        <f>C11+E11+G11+I11</f>
        <v/>
      </c>
      <c r="L11" s="15">
        <f>K11/50</f>
        <v/>
      </c>
      <c r="M11" s="14" t="n">
        <v>5</v>
      </c>
      <c r="N11" s="15">
        <f>M11/6</f>
        <v/>
      </c>
      <c r="O11" s="12" t="inlineStr">
        <is>
          <t>Trung bình</t>
        </is>
      </c>
    </row>
    <row r="12" ht="24" customHeight="1">
      <c r="A12" s="16" t="n">
        <v>8</v>
      </c>
      <c r="B12" s="17" t="inlineStr">
        <is>
          <t>Trần Văn Phúc</t>
        </is>
      </c>
      <c r="C12" s="18" t="n">
        <v>7</v>
      </c>
      <c r="D12" s="19">
        <f>C12/15</f>
        <v/>
      </c>
      <c r="E12" s="18" t="n">
        <v>6</v>
      </c>
      <c r="F12" s="19">
        <f>E12/10</f>
        <v/>
      </c>
      <c r="G12" s="18" t="n">
        <v>9</v>
      </c>
      <c r="H12" s="19">
        <f>G12/15</f>
        <v/>
      </c>
      <c r="I12" s="18" t="n">
        <v>5</v>
      </c>
      <c r="J12" s="19">
        <f>I12/10</f>
        <v/>
      </c>
      <c r="K12" s="18">
        <f>C12+E12+G12+I12</f>
        <v/>
      </c>
      <c r="L12" s="19">
        <f>K12/50</f>
        <v/>
      </c>
      <c r="M12" s="18" t="n">
        <v>2</v>
      </c>
      <c r="N12" s="19">
        <f>M12/6</f>
        <v/>
      </c>
      <c r="O12" s="16" t="inlineStr">
        <is>
          <t>Trung bình</t>
        </is>
      </c>
    </row>
    <row r="13" ht="26" customHeight="1">
      <c r="A13" s="20" t="inlineStr">
        <is>
          <t>TRUNG BÌNH CHUNG</t>
        </is>
      </c>
      <c r="B13" s="21" t="n"/>
      <c r="C13" s="22">
        <f>AVERAGE(C5:C12)</f>
        <v/>
      </c>
      <c r="D13" s="23">
        <f>AVERAGE(D5:D12)</f>
        <v/>
      </c>
      <c r="E13" s="22">
        <f>AVERAGE(E5:E12)</f>
        <v/>
      </c>
      <c r="F13" s="23">
        <f>AVERAGE(F5:F12)</f>
        <v/>
      </c>
      <c r="G13" s="22">
        <f>AVERAGE(G5:G12)</f>
        <v/>
      </c>
      <c r="H13" s="23">
        <f>AVERAGE(H5:H12)</f>
        <v/>
      </c>
      <c r="I13" s="22">
        <f>AVERAGE(I5:I12)</f>
        <v/>
      </c>
      <c r="J13" s="23">
        <f>AVERAGE(J5:J12)</f>
        <v/>
      </c>
      <c r="K13" s="22">
        <f>AVERAGE(K5:K12)</f>
        <v/>
      </c>
      <c r="L13" s="23">
        <f>AVERAGE(L5:L12)</f>
        <v/>
      </c>
      <c r="M13" s="22">
        <f>AVERAGE(M5:M12)</f>
        <v/>
      </c>
      <c r="N13" s="23">
        <f>AVERAGE(N5:N12)</f>
        <v/>
      </c>
      <c r="O13" s="21" t="n"/>
    </row>
  </sheetData>
  <mergeCells count="12">
    <mergeCell ref="A2:O2"/>
    <mergeCell ref="B3:B4"/>
    <mergeCell ref="A3:A4"/>
    <mergeCell ref="O3:O4"/>
    <mergeCell ref="A1:O1"/>
    <mergeCell ref="A13:B13"/>
    <mergeCell ref="M3:N3"/>
    <mergeCell ref="C3:D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2026-09-15T15:12:12Z</dcterms:created>
  <dcterms:modified xmlns:dcterms="http://purl.org/dc/terms/" xmlns:xsi="http://www.w3.org/2001/XMLSchema-instance" xsi:type="dcterms:W3CDTF">2026-09-15T15:12:12Z</dcterms:modified>
</cp:coreProperties>
</file>